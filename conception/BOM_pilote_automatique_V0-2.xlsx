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d971ce6da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menclature" sheetId="1" r:id="R017593dcbd024555"/>
    <x:sheet xmlns:r="http://schemas.openxmlformats.org/officeDocument/2006/relationships" name="Synthese" sheetId="2" r:id="Rea46eb10ce494fac"/>
    <x:sheet xmlns:r="http://schemas.openxmlformats.org/officeDocument/2006/relationships" name="Decisions" sheetId="3" r:id="R78c68f69d4c5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CAD&quot;;[Red](#,##0) &quot;CAD&quot;;–"/>
    <x:numFmt numFmtId="201" formatCode="0"/>
    <x:numFmt numFmtId="202" formatCode="#,##0 &quot;CAD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7"/>
      </x:patternFill>
    </x:fill>
    <x:fill>
      <x:patternFill patternType="solid">
        <x:fgColor rgb="FFEDF3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629f5f7294d98" /><Relationship Type="http://schemas.openxmlformats.org/officeDocument/2006/relationships/theme" Target="/xl/theme/theme1.xml" Id="R4f407d91e7bd4102" /><Relationship Type="http://schemas.openxmlformats.org/officeDocument/2006/relationships/sharedStrings" Target="/xl/sharedStrings.xml" Id="R930224c7b8074bfa" /><Relationship Type="http://schemas.openxmlformats.org/officeDocument/2006/relationships/worksheet" Target="/xl/worksheets/sheet1.xml" Id="R017593dcbd024555" /><Relationship Type="http://schemas.openxmlformats.org/officeDocument/2006/relationships/worksheet" Target="/xl/worksheets/sheet2.xml" Id="Rea46eb10ce494fac" /><Relationship Type="http://schemas.openxmlformats.org/officeDocument/2006/relationships/worksheet" Target="/xl/worksheets/sheet3.xml" Id="R78c68f69d4c5430d" /></Relationships>
</file>

<file path=xl/tables/table1.xml><?xml version="1.0" encoding="utf-8"?>
<x:table xmlns:x="http://schemas.openxmlformats.org/spreadsheetml/2006/main" id="1" name="BOMV02" displayName="BOMV02" ref="A1:Q27" headerRowCount="1" totalsRowCount="0" totalsRowShown="0">
  <x:tableColumns count="17">
    <x:tableColumn id="1" name="ID"/>
    <x:tableColumn id="2" name="Groupe"/>
    <x:tableColumn id="3" name="Article"/>
    <x:tableColumn id="4" name="Quantite_scenario"/>
    <x:tableColumn id="5" name="Unite"/>
    <x:tableColumn id="6" name="Budget_unitaire_min_CAD_historique"/>
    <x:tableColumn id="7" name="Budget_unitaire_max_CAD_historique"/>
    <x:tableColumn id="8" name="Priorite_fonctionnelle"/>
    <x:tableColumn id="9" name="Statut_choix"/>
    <x:tableColumn id="10" name="Decision"/>
    <x:tableColumn id="11" name="Porte"/>
    <x:tableColumn id="12" name="Provenance"/>
    <x:tableColumn id="13" name="Risques_et_validation"/>
    <x:tableColumn id="14" name="Total_min_CAD_scenario"/>
    <x:tableColumn id="15" name="Total_max_CAD_scenario"/>
    <x:tableColumn id="16" name="Budget_herite"/>
    <x:tableColumn id="17" name="Aler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sV02" displayName="DecisionsV02" ref="A1:E11" headerRowCount="1" totalsRowCount="0" totalsRowShown="0">
  <x:tableColumns count="5">
    <x:tableColumn id="1" name="ID"/>
    <x:tableColumn id="2" name="Décision"/>
    <x:tableColumn id="3" name="Porte"/>
    <x:tableColumn id="4" name="Etat"/>
    <x:tableColumn id="5" name="Éléments BOM / just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5c22b3468644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cac46c1fef45c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9" hidden="0" customWidth="1"/>
    <x:col min="3" max="3" width="48" hidden="0" customWidth="1"/>
    <x:col min="4" max="4" width="13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2" hidden="0" customWidth="1"/>
    <x:col min="11" max="11" width="11" hidden="0" customWidth="1"/>
    <x:col min="12" max="12" width="24" hidden="0" customWidth="1"/>
    <x:col min="13" max="13" width="65" hidden="0" customWidth="1"/>
    <x:col min="14" max="14" width="23" hidden="0" customWidth="1"/>
    <x:col min="15" max="15" width="23" hidden="0" customWidth="1"/>
    <x:col min="16" max="16" width="14" hidden="0" customWidth="1"/>
    <x:col min="17" max="17" width="37" hidden="0" customWidth="1"/>
  </x:cols>
  <x:sheetData>
    <x:row r="1" ht="42" customHeight="1">
      <x:c r="A1" s="5" t="str">
        <x:v>ID</x:v>
      </x:c>
      <x:c r="B1" s="5" t="str">
        <x:v>Groupe</x:v>
      </x:c>
      <x:c r="C1" s="5" t="str">
        <x:v>Article</x:v>
      </x:c>
      <x:c r="D1" s="5" t="str">
        <x:v>Quantite_scenario</x:v>
      </x:c>
      <x:c r="E1" s="5" t="str">
        <x:v>Unite</x:v>
      </x:c>
      <x:c r="F1" s="5" t="str">
        <x:v>Budget_unitaire_min_CAD_historique</x:v>
      </x:c>
      <x:c r="G1" s="5" t="str">
        <x:v>Budget_unitaire_max_CAD_historique</x:v>
      </x:c>
      <x:c r="H1" s="5" t="str">
        <x:v>Priorite_fonctionnelle</x:v>
      </x:c>
      <x:c r="I1" s="5" t="str">
        <x:v>Statut_choix</x:v>
      </x:c>
      <x:c r="J1" s="5" t="str">
        <x:v>Decision</x:v>
      </x:c>
      <x:c r="K1" s="5" t="str">
        <x:v>Porte</x:v>
      </x:c>
      <x:c r="L1" s="5" t="str">
        <x:v>Provenance</x:v>
      </x:c>
      <x:c r="M1" s="5" t="str">
        <x:v>Risques_et_validation</x:v>
      </x:c>
      <x:c r="N1" s="4" t="str">
        <x:v>Total_min_CAD_scenario</x:v>
      </x:c>
      <x:c r="O1" s="4" t="str">
        <x:v>Total_max_CAD_scenario</x:v>
      </x:c>
      <x:c r="P1" s="4" t="str">
        <x:v>Budget_herite</x:v>
      </x:c>
      <x:c r="Q1" s="4" t="str">
        <x:v>Alerte</x:v>
      </x:c>
    </x:row>
    <x:row r="2" ht="36" customHeight="1">
      <x:c r="A2" s="10" t="str">
        <x:v>E01A</x:v>
      </x:c>
      <x:c r="B2" s="10" t="str">
        <x:v>Calcul</x:v>
      </x:c>
      <x:c r="C2" s="10" t="str">
        <x:v>ESP32-S3 carte de développement</x:v>
      </x:c>
      <x:c r="D2" s="14" t="n">
        <x:v>0</x:v>
      </x:c>
      <x:c r="E2" s="10" t="str">
        <x:v>unité</x:v>
      </x:c>
      <x:c r="F2" s="12" t="n">
        <x:v>35</x:v>
      </x:c>
      <x:c r="G2" s="12" t="n">
        <x:v>70</x:v>
      </x:c>
      <x:c r="H2" s="10" t="str">
        <x:v>Candidat alternatif</x:v>
      </x:c>
      <x:c r="I2" s="10" t="str">
        <x:v>À décider</x:v>
      </x:c>
      <x:c r="J2" s="10" t="str">
        <x:v>D-01</x:v>
      </x:c>
      <x:c r="K2" s="10" t="str">
        <x:v>G3/G4</x:v>
      </x:c>
      <x:c r="L2" s="10" t="str">
        <x:v>BOM V0.1</x:v>
      </x:c>
      <x:c r="M2" s="10" t="str">
        <x:v>Alternative à Arduino Mega; prototype, pas équipement marin validé</x:v>
      </x:c>
      <x:c r="N2" s="18" t="n">
        <x:f>IF(OR(D2=0,F2=""),0,D2*F2)</x:f>
        <x:v>0</x:v>
      </x:c>
      <x:c r="O2" s="18" t="n">
        <x:f>IF(OR(D2=0,G2=""),0,D2*G2)</x:f>
        <x:v>0</x:v>
      </x:c>
      <x:c r="P2" s="10" t="str">
        <x:f>IF(OR(F2="",G2=""),"NON","OUI")</x:f>
        <x:v>OUI</x:v>
      </x:c>
      <x:c r="Q2" s="10" t="str">
        <x:f>IF(AND(D2&gt;0,OR(F2="",G2="")),"PRIX MANQUANT",IF(D2&gt;0,"HYPOTHÈSE","NON SÉLECTIONNÉ"))</x:f>
        <x:v>NON SÉLECTIONNÉ</x:v>
      </x:c>
    </x:row>
    <x:row r="3" ht="36" customHeight="1">
      <x:c r="A3" s="10" t="str">
        <x:v>E01B</x:v>
      </x:c>
      <x:c r="B3" s="10" t="str">
        <x:v>Calcul</x:v>
      </x:c>
      <x:c r="C3" s="10" t="str">
        <x:v>Arduino Mega 2560 compatible Fenix</x:v>
      </x:c>
      <x:c r="D3" s="14" t="n">
        <x:v>1</x:v>
      </x:c>
      <x:c r="E3" s="10" t="str">
        <x:v>unité</x:v>
      </x:c>
      <x:c r="F3" s="12"/>
      <x:c r="G3" s="12"/>
      <x:c r="H3" s="10" t="str">
        <x:v>Candidat alternatif</x:v>
      </x:c>
      <x:c r="I3" s="10" t="str">
        <x:v>À décider</x:v>
      </x:c>
      <x:c r="J3" s="10" t="str">
        <x:v>D-01</x:v>
      </x:c>
      <x:c r="K3" s="10" t="str">
        <x:v>G3/G4</x:v>
      </x:c>
      <x:c r="L3" s="10" t="str">
        <x:v>Fenix README / audit</x:v>
      </x:c>
      <x:c r="M3" s="10" t="str">
        <x:v>Prix à obtenir; quantité scénario uniquement</x:v>
      </x:c>
      <x:c r="N3" s="18" t="n">
        <x:f>IF(OR(D3=0,F3=""),0,D3*F3)</x:f>
        <x:v>0</x:v>
      </x:c>
      <x:c r="O3" s="18" t="n">
        <x:f>IF(OR(D3=0,G3=""),0,D3*G3)</x:f>
        <x:v>0</x:v>
      </x:c>
      <x:c r="P3" s="10" t="str">
        <x:f>IF(OR(F3="",G3=""),"NON","OUI")</x:f>
        <x:v>NON</x:v>
      </x:c>
      <x:c r="Q3" s="10" t="str">
        <x:f>IF(AND(D3&gt;0,OR(F3="",G3="")),"PRIX MANQUANT",IF(D3&gt;0,"HYPOTHÈSE","NON SÉLECTIONNÉ"))</x:f>
        <x:v>PRIX MANQUANT</x:v>
      </x:c>
    </x:row>
    <x:row r="4" ht="36" customHeight="1">
      <x:c r="A4" s="10" t="str">
        <x:v>E02A</x:v>
      </x:c>
      <x:c r="B4" s="10" t="str">
        <x:v>Capteurs</x:v>
      </x:c>
      <x:c r="C4" s="10" t="str">
        <x:v>IMU BNO085 breakout</x:v>
      </x:c>
      <x:c r="D4" s="14" t="n">
        <x:v>0</x:v>
      </x:c>
      <x:c r="E4" s="10" t="str">
        <x:v>unité</x:v>
      </x:c>
      <x:c r="F4" s="12" t="n">
        <x:v>45</x:v>
      </x:c>
      <x:c r="G4" s="12" t="n">
        <x:v>75</x:v>
      </x:c>
      <x:c r="H4" s="10" t="str">
        <x:v>Candidat alternatif</x:v>
      </x:c>
      <x:c r="I4" s="10" t="str">
        <x:v>À décider</x:v>
      </x:c>
      <x:c r="J4" s="10" t="str">
        <x:v>D-04</x:v>
      </x:c>
      <x:c r="K4" s="10" t="str">
        <x:v>G3/G5</x:v>
      </x:c>
      <x:c r="L4" s="10" t="str">
        <x:v>BOM V0.1</x:v>
      </x:c>
      <x:c r="M4" s="10" t="str">
        <x:v>Validation magnétique, fusion et interface nécessaires</x:v>
      </x:c>
      <x:c r="N4" s="18" t="n">
        <x:f>IF(OR(D4=0,F4=""),0,D4*F4)</x:f>
        <x:v>0</x:v>
      </x:c>
      <x:c r="O4" s="18" t="n">
        <x:f>IF(OR(D4=0,G4=""),0,D4*G4)</x:f>
        <x:v>0</x:v>
      </x:c>
      <x:c r="P4" s="10" t="str">
        <x:f>IF(OR(F4="",G4=""),"NON","OUI")</x:f>
        <x:v>OUI</x:v>
      </x:c>
      <x:c r="Q4" s="10" t="str">
        <x:f>IF(AND(D4&gt;0,OR(F4="",G4="")),"PRIX MANQUANT",IF(D4&gt;0,"HYPOTHÈSE","NON SÉLECTIONNÉ"))</x:f>
        <x:v>NON SÉLECTIONNÉ</x:v>
      </x:c>
    </x:row>
    <x:row r="5" ht="36" customHeight="1">
      <x:c r="A5" s="10" t="str">
        <x:v>E02B</x:v>
      </x:c>
      <x:c r="B5" s="10" t="str">
        <x:v>Capteurs</x:v>
      </x:c>
      <x:c r="C5" s="10" t="str">
        <x:v>IMU ICM-20948 compatible firmware Fenix</x:v>
      </x:c>
      <x:c r="D5" s="14" t="n">
        <x:v>1</x:v>
      </x:c>
      <x:c r="E5" s="10" t="str">
        <x:v>unité</x:v>
      </x:c>
      <x:c r="F5" s="12"/>
      <x:c r="G5" s="12"/>
      <x:c r="H5" s="10" t="str">
        <x:v>Candidat alternatif</x:v>
      </x:c>
      <x:c r="I5" s="10" t="str">
        <x:v>À décider</x:v>
      </x:c>
      <x:c r="J5" s="10" t="str">
        <x:v>D-04</x:v>
      </x:c>
      <x:c r="K5" s="10" t="str">
        <x:v>G3/G5</x:v>
      </x:c>
      <x:c r="L5" s="10" t="str">
        <x:v>Fenix README / audit</x:v>
      </x:c>
      <x:c r="M5" s="10" t="str">
        <x:v>Compatibilité exacte module, prix et calibration à confirmer</x:v>
      </x:c>
      <x:c r="N5" s="18" t="n">
        <x:f>IF(OR(D5=0,F5=""),0,D5*F5)</x:f>
        <x:v>0</x:v>
      </x:c>
      <x:c r="O5" s="18" t="n">
        <x:f>IF(OR(D5=0,G5=""),0,D5*G5)</x:f>
        <x:v>0</x:v>
      </x:c>
      <x:c r="P5" s="10" t="str">
        <x:f>IF(OR(F5="",G5=""),"NON","OUI")</x:f>
        <x:v>NON</x:v>
      </x:c>
      <x:c r="Q5" s="10" t="str">
        <x:f>IF(AND(D5&gt;0,OR(F5="",G5="")),"PRIX MANQUANT",IF(D5&gt;0,"HYPOTHÈSE","NON SÉLECTIONNÉ"))</x:f>
        <x:v>PRIX MANQUANT</x:v>
      </x:c>
    </x:row>
    <x:row r="6" ht="36" customHeight="1">
      <x:c r="A6" s="10" t="str">
        <x:v>E03</x:v>
      </x:c>
      <x:c r="B6" s="10" t="str">
        <x:v>Capteurs</x:v>
      </x:c>
      <x:c r="C6" s="10" t="str">
        <x:v>Référence de cap indépendante / GNSS</x:v>
      </x:c>
      <x:c r="D6" s="14" t="n">
        <x:v>0</x:v>
      </x:c>
      <x:c r="E6" s="10" t="str">
        <x:v>unité</x:v>
      </x:c>
      <x:c r="F6" s="12" t="n">
        <x:v>60</x:v>
      </x:c>
      <x:c r="G6" s="12" t="n">
        <x:v>180</x:v>
      </x:c>
      <x:c r="H6" s="10" t="str">
        <x:v>Option de validation</x:v>
      </x:c>
      <x:c r="I6" s="10" t="str">
        <x:v>À vérifier</x:v>
      </x:c>
      <x:c r="J6" s="10" t="str">
        <x:v>D-04</x:v>
      </x:c>
      <x:c r="K6" s="10" t="str">
        <x:v>G5</x:v>
      </x:c>
      <x:c r="L6" s="10" t="str">
        <x:v>BOM V0.1</x:v>
      </x:c>
      <x:c r="M6" s="10" t="str">
        <x:v>COG GPS ≠ cap; ne remplace pas IMU par défaut</x:v>
      </x:c>
      <x:c r="N6" s="18" t="n">
        <x:f>IF(OR(D6=0,F6=""),0,D6*F6)</x:f>
        <x:v>0</x:v>
      </x:c>
      <x:c r="O6" s="18" t="n">
        <x:f>IF(OR(D6=0,G6=""),0,D6*G6)</x:f>
        <x:v>0</x:v>
      </x:c>
      <x:c r="P6" s="10" t="str">
        <x:f>IF(OR(F6="",G6=""),"NON","OUI")</x:f>
        <x:v>OUI</x:v>
      </x:c>
      <x:c r="Q6" s="10" t="str">
        <x:f>IF(AND(D6&gt;0,OR(F6="",G6="")),"PRIX MANQUANT",IF(D6&gt;0,"HYPOTHÈSE","NON SÉLECTIONNÉ"))</x:f>
        <x:v>NON SÉLECTIONNÉ</x:v>
      </x:c>
    </x:row>
    <x:row r="7" ht="36" customHeight="1">
      <x:c r="A7" s="10" t="str">
        <x:v>E04A</x:v>
      </x:c>
      <x:c r="B7" s="10" t="str">
        <x:v>Puissance</x:v>
      </x:c>
      <x:c r="C7" s="10" t="str">
        <x:v>Pont H Pololu G2 24v21</x:v>
      </x:c>
      <x:c r="D7" s="14" t="n">
        <x:v>0</x:v>
      </x:c>
      <x:c r="E7" s="10" t="str">
        <x:v>unité</x:v>
      </x:c>
      <x:c r="F7" s="12" t="n">
        <x:v>80</x:v>
      </x:c>
      <x:c r="G7" s="12" t="n">
        <x:v>120</x:v>
      </x:c>
      <x:c r="H7" s="10" t="str">
        <x:v>Candidat alternatif</x:v>
      </x:c>
      <x:c r="I7" s="10" t="str">
        <x:v>À décider</x:v>
      </x:c>
      <x:c r="J7" s="10" t="str">
        <x:v>D-06</x:v>
      </x:c>
      <x:c r="K7" s="10" t="str">
        <x:v>G1</x:v>
      </x:c>
      <x:c r="L7" s="10" t="str">
        <x:v>BOM V0.1</x:v>
      </x:c>
      <x:c r="M7" s="10" t="str">
        <x:v>Thermique, tensions, protections, capacité moteur à vérifier</x:v>
      </x:c>
      <x:c r="N7" s="18" t="n">
        <x:f>IF(OR(D7=0,F7=""),0,D7*F7)</x:f>
        <x:v>0</x:v>
      </x:c>
      <x:c r="O7" s="18" t="n">
        <x:f>IF(OR(D7=0,G7=""),0,D7*G7)</x:f>
        <x:v>0</x:v>
      </x:c>
      <x:c r="P7" s="10" t="str">
        <x:f>IF(OR(F7="",G7=""),"NON","OUI")</x:f>
        <x:v>OUI</x:v>
      </x:c>
      <x:c r="Q7" s="10" t="str">
        <x:f>IF(AND(D7&gt;0,OR(F7="",G7="")),"PRIX MANQUANT",IF(D7&gt;0,"HYPOTHÈSE","NON SÉLECTIONNÉ"))</x:f>
        <x:v>NON SÉLECTIONNÉ</x:v>
      </x:c>
    </x:row>
    <x:row r="8" ht="36" customHeight="1">
      <x:c r="A8" s="10" t="str">
        <x:v>E04B</x:v>
      </x:c>
      <x:c r="B8" s="10" t="str">
        <x:v>Puissance</x:v>
      </x:c>
      <x:c r="C8" s="10" t="str">
        <x:v>Driver Cytron MD10C ou équivalent</x:v>
      </x:c>
      <x:c r="D8" s="14" t="n">
        <x:v>1</x:v>
      </x:c>
      <x:c r="E8" s="10" t="str">
        <x:v>unité</x:v>
      </x:c>
      <x:c r="F8" s="12"/>
      <x:c r="G8" s="12"/>
      <x:c r="H8" s="10" t="str">
        <x:v>Candidat alternatif</x:v>
      </x:c>
      <x:c r="I8" s="10" t="str">
        <x:v>À décider</x:v>
      </x:c>
      <x:c r="J8" s="10" t="str">
        <x:v>D-06</x:v>
      </x:c>
      <x:c r="K8" s="10" t="str">
        <x:v>G1</x:v>
      </x:c>
      <x:c r="L8" s="10" t="str">
        <x:v>Architecture audit source</x:v>
      </x:c>
      <x:c r="M8" s="10" t="str">
        <x:v>Dimensionnement et capacités thermiques à prouver avant achat</x:v>
      </x:c>
      <x:c r="N8" s="18" t="n">
        <x:f>IF(OR(D8=0,F8=""),0,D8*F8)</x:f>
        <x:v>0</x:v>
      </x:c>
      <x:c r="O8" s="18" t="n">
        <x:f>IF(OR(D8=0,G8=""),0,D8*G8)</x:f>
        <x:v>0</x:v>
      </x:c>
      <x:c r="P8" s="10" t="str">
        <x:f>IF(OR(F8="",G8=""),"NON","OUI")</x:f>
        <x:v>NON</x:v>
      </x:c>
      <x:c r="Q8" s="10" t="str">
        <x:f>IF(AND(D8&gt;0,OR(F8="",G8="")),"PRIX MANQUANT",IF(D8&gt;0,"HYPOTHÈSE","NON SÉLECTIONNÉ"))</x:f>
        <x:v>PRIX MANQUANT</x:v>
      </x:c>
    </x:row>
    <x:row r="9" ht="36" customHeight="1">
      <x:c r="A9" s="10" t="str">
        <x:v>E04C</x:v>
      </x:c>
      <x:c r="B9" s="10" t="str">
        <x:v>Puissance</x:v>
      </x:c>
      <x:c r="C9" s="10" t="str">
        <x:v>Carte moteur inspirée PyPilot (schéma à auditer)</x:v>
      </x:c>
      <x:c r="D9" s="14" t="n">
        <x:v>0</x:v>
      </x:c>
      <x:c r="E9" s="10" t="str">
        <x:v>unité</x:v>
      </x:c>
      <x:c r="F9" s="12"/>
      <x:c r="G9" s="12"/>
      <x:c r="H9" s="10" t="str">
        <x:v>Candidat alternatif</x:v>
      </x:c>
      <x:c r="I9" s="10" t="str">
        <x:v>À vérifier</x:v>
      </x:c>
      <x:c r="J9" s="10" t="str">
        <x:v>D-06</x:v>
      </x:c>
      <x:c r="K9" s="10" t="str">
        <x:v>G1/G3</x:v>
      </x:c>
      <x:c r="L9" s="10" t="str">
        <x:v>pypilot_schematics</x:v>
      </x:c>
      <x:c r="M9" s="10" t="str">
        <x:v>Non chiffré; conception/assemblage et sécurité à valider</x:v>
      </x:c>
      <x:c r="N9" s="18" t="n">
        <x:f>IF(OR(D9=0,F9=""),0,D9*F9)</x:f>
        <x:v>0</x:v>
      </x:c>
      <x:c r="O9" s="18" t="n">
        <x:f>IF(OR(D9=0,G9=""),0,D9*G9)</x:f>
        <x:v>0</x:v>
      </x:c>
      <x:c r="P9" s="10" t="str">
        <x:f>IF(OR(F9="",G9=""),"NON","OUI")</x:f>
        <x:v>NON</x:v>
      </x:c>
      <x:c r="Q9" s="10" t="str">
        <x:f>IF(AND(D9&gt;0,OR(F9="",G9="")),"PRIX MANQUANT",IF(D9&gt;0,"HYPOTHÈSE","NON SÉLECTIONNÉ"))</x:f>
        <x:v>NON SÉLECTIONNÉ</x:v>
      </x:c>
    </x:row>
    <x:row r="10" ht="36" customHeight="1">
      <x:c r="A10" s="10" t="str">
        <x:v>E05</x:v>
      </x:c>
      <x:c r="B10" s="10" t="str">
        <x:v>Mesures</x:v>
      </x:c>
      <x:c r="C10" s="10" t="str">
        <x:v>Shunt et mesure de courant bidirectionnelle</x:v>
      </x:c>
      <x:c r="D10" s="14" t="n">
        <x:v>1</x:v>
      </x:c>
      <x:c r="E10" s="10" t="str">
        <x:v>jeu</x:v>
      </x:c>
      <x:c r="F10" s="12" t="n">
        <x:v>25</x:v>
      </x:c>
      <x:c r="G10" s="12" t="n">
        <x:v>65</x:v>
      </x:c>
      <x:c r="H10" s="10" t="str">
        <x:v>Fonction nécessaire</x:v>
      </x:c>
      <x:c r="I10" s="10" t="str">
        <x:v>À vérifier</x:v>
      </x:c>
      <x:c r="J10" s="10" t="str">
        <x:v>D-06</x:v>
      </x:c>
      <x:c r="K10" s="10" t="str">
        <x:v>G1</x:v>
      </x:c>
      <x:c r="L10" s="10" t="str">
        <x:v>BOM V0.1</x:v>
      </x:c>
      <x:c r="M10" s="10" t="str">
        <x:v>Compatible transitoires, tension et cadence de mesure</x:v>
      </x:c>
      <x:c r="N10" s="18" t="n">
        <x:f>IF(OR(D10=0,F10=""),0,D10*F10)</x:f>
        <x:v>25</x:v>
      </x:c>
      <x:c r="O10" s="18" t="n">
        <x:f>IF(OR(D10=0,G10=""),0,D10*G10)</x:f>
        <x:v>65</x:v>
      </x:c>
      <x:c r="P10" s="10" t="str">
        <x:f>IF(OR(F10="",G10=""),"NON","OUI")</x:f>
        <x:v>OUI</x:v>
      </x:c>
      <x:c r="Q10" s="10" t="str">
        <x:f>IF(AND(D10&gt;0,OR(F10="",G10="")),"PRIX MANQUANT",IF(D10&gt;0,"HYPOTHÈSE","NON SÉLECTIONNÉ"))</x:f>
        <x:v>HYPOTHÈSE</x:v>
      </x:c>
    </x:row>
    <x:row r="11" ht="36" customHeight="1">
      <x:c r="A11" s="10" t="str">
        <x:v>E06</x:v>
      </x:c>
      <x:c r="B11" s="10" t="str">
        <x:v>Alimentation</x:v>
      </x:c>
      <x:c r="C11" s="10" t="str">
        <x:v>DC/DC 12 V vers tension logique filtré</x:v>
      </x:c>
      <x:c r="D11" s="14" t="n">
        <x:v>1</x:v>
      </x:c>
      <x:c r="E11" s="10" t="str">
        <x:v>unité</x:v>
      </x:c>
      <x:c r="F11" s="12" t="n">
        <x:v>35</x:v>
      </x:c>
      <x:c r="G11" s="12" t="n">
        <x:v>90</x:v>
      </x:c>
      <x:c r="H11" s="10" t="str">
        <x:v>Fonction nécessaire</x:v>
      </x:c>
      <x:c r="I11" s="10" t="str">
        <x:v>À vérifier</x:v>
      </x:c>
      <x:c r="J11" s="10" t="str">
        <x:v>D-01</x:v>
      </x:c>
      <x:c r="K11" s="10" t="str">
        <x:v>G1</x:v>
      </x:c>
      <x:c r="L11" s="10" t="str">
        <x:v>BOM V0.1</x:v>
      </x:c>
      <x:c r="M11" s="10" t="str">
        <x:v>Version marine non confirmée</x:v>
      </x:c>
      <x:c r="N11" s="18" t="n">
        <x:f>IF(OR(D11=0,F11=""),0,D11*F11)</x:f>
        <x:v>35</x:v>
      </x:c>
      <x:c r="O11" s="18" t="n">
        <x:f>IF(OR(D11=0,G11=""),0,D11*G11)</x:f>
        <x:v>90</x:v>
      </x:c>
      <x:c r="P11" s="10" t="str">
        <x:f>IF(OR(F11="",G11=""),"NON","OUI")</x:f>
        <x:v>OUI</x:v>
      </x:c>
      <x:c r="Q11" s="10" t="str">
        <x:f>IF(AND(D11&gt;0,OR(F11="",G11="")),"PRIX MANQUANT",IF(D11&gt;0,"HYPOTHÈSE","NON SÉLECTIONNÉ"))</x:f>
        <x:v>HYPOTHÈSE</x:v>
      </x:c>
    </x:row>
    <x:row r="12" ht="36" customHeight="1">
      <x:c r="A12" s="10" t="str">
        <x:v>E07</x:v>
      </x:c>
      <x:c r="B12" s="10" t="str">
        <x:v>Protection</x:v>
      </x:c>
      <x:c r="C12" s="10" t="str">
        <x:v>Fusibles, porte-fusibles, TVS et câblage protégé</x:v>
      </x:c>
      <x:c r="D12" s="14" t="n">
        <x:v>1</x:v>
      </x:c>
      <x:c r="E12" s="10" t="str">
        <x:v>lot</x:v>
      </x:c>
      <x:c r="F12" s="12" t="n">
        <x:v>50</x:v>
      </x:c>
      <x:c r="G12" s="12" t="n">
        <x:v>120</x:v>
      </x:c>
      <x:c r="H12" s="10" t="str">
        <x:v>Fonction nécessaire</x:v>
      </x:c>
      <x:c r="I12" s="10" t="str">
        <x:v>À vérifier</x:v>
      </x:c>
      <x:c r="J12" s="10" t="str">
        <x:v>D-06</x:v>
      </x:c>
      <x:c r="K12" s="10" t="str">
        <x:v>G1</x:v>
      </x:c>
      <x:c r="L12" s="10" t="str">
        <x:v>BOM V0.1</x:v>
      </x:c>
      <x:c r="M12" s="10" t="str">
        <x:v>Calibre déterminé à partir des conducteurs et transitoires</x:v>
      </x:c>
      <x:c r="N12" s="18" t="n">
        <x:f>IF(OR(D12=0,F12=""),0,D12*F12)</x:f>
        <x:v>50</x:v>
      </x:c>
      <x:c r="O12" s="18" t="n">
        <x:f>IF(OR(D12=0,G12=""),0,D12*G12)</x:f>
        <x:v>120</x:v>
      </x:c>
      <x:c r="P12" s="10" t="str">
        <x:f>IF(OR(F12="",G12=""),"NON","OUI")</x:f>
        <x:v>OUI</x:v>
      </x:c>
      <x:c r="Q12" s="10" t="str">
        <x:f>IF(AND(D12&gt;0,OR(F12="",G12="")),"PRIX MANQUANT",IF(D12&gt;0,"HYPOTHÈSE","NON SÉLECTIONNÉ"))</x:f>
        <x:v>HYPOTHÈSE</x:v>
      </x:c>
    </x:row>
    <x:row r="13" ht="36" customHeight="1">
      <x:c r="A13" s="10" t="str">
        <x:v>E08</x:v>
      </x:c>
      <x:c r="B13" s="10" t="str">
        <x:v>Protection</x:v>
      </x:c>
      <x:c r="C13" s="10" t="str">
        <x:v>Contacteur de coupure moteur à repos sûr</x:v>
      </x:c>
      <x:c r="D13" s="14" t="n">
        <x:v>1</x:v>
      </x:c>
      <x:c r="E13" s="10" t="str">
        <x:v>unité</x:v>
      </x:c>
      <x:c r="F13" s="12" t="n">
        <x:v>45</x:v>
      </x:c>
      <x:c r="G13" s="12" t="n">
        <x:v>110</x:v>
      </x:c>
      <x:c r="H13" s="10" t="str">
        <x:v>Fonction nécessaire</x:v>
      </x:c>
      <x:c r="I13" s="10" t="str">
        <x:v>À vérifier</x:v>
      </x:c>
      <x:c r="J13" s="10" t="str">
        <x:v>D-06</x:v>
      </x:c>
      <x:c r="K13" s="10" t="str">
        <x:v>G1</x:v>
      </x:c>
      <x:c r="L13" s="10" t="str">
        <x:v>BOM V0.1</x:v>
      </x:c>
      <x:c r="M13" s="10" t="str">
        <x:v>Fonction autonome, redémarrage inactif, arrêt physique</x:v>
      </x:c>
      <x:c r="N13" s="18" t="n">
        <x:f>IF(OR(D13=0,F13=""),0,D13*F13)</x:f>
        <x:v>45</x:v>
      </x:c>
      <x:c r="O13" s="18" t="n">
        <x:f>IF(OR(D13=0,G13=""),0,D13*G13)</x:f>
        <x:v>110</x:v>
      </x:c>
      <x:c r="P13" s="10" t="str">
        <x:f>IF(OR(F13="",G13=""),"NON","OUI")</x:f>
        <x:v>OUI</x:v>
      </x:c>
      <x:c r="Q13" s="10" t="str">
        <x:f>IF(AND(D13&gt;0,OR(F13="",G13="")),"PRIX MANQUANT",IF(D13&gt;0,"HYPOTHÈSE","NON SÉLECTIONNÉ"))</x:f>
        <x:v>HYPOTHÈSE</x:v>
      </x:c>
    </x:row>
    <x:row r="14" ht="36" customHeight="1">
      <x:c r="A14" s="10" t="str">
        <x:v>E09</x:v>
      </x:c>
      <x:c r="B14" s="10" t="str">
        <x:v>Interface sécurité</x:v>
      </x:c>
      <x:c r="C14" s="10" t="str">
        <x:v>STOP et veille/auto matériel au cockpit</x:v>
      </x:c>
      <x:c r="D14" s="14" t="n">
        <x:v>1</x:v>
      </x:c>
      <x:c r="E14" s="10" t="str">
        <x:v>lot</x:v>
      </x:c>
      <x:c r="F14" s="12" t="n">
        <x:v>35</x:v>
      </x:c>
      <x:c r="G14" s="12" t="n">
        <x:v>90</x:v>
      </x:c>
      <x:c r="H14" s="10" t="str">
        <x:v>Fonction nécessaire</x:v>
      </x:c>
      <x:c r="I14" s="10" t="str">
        <x:v>À vérifier</x:v>
      </x:c>
      <x:c r="J14" s="10" t="str">
        <x:v>D-10</x:v>
      </x:c>
      <x:c r="K14" s="10" t="str">
        <x:v>G1/G5</x:v>
      </x:c>
      <x:c r="L14" s="10" t="str">
        <x:v>BOM V0.1</x:v>
      </x:c>
      <x:c r="M14" s="10" t="str">
        <x:v>Priorité absolue et accès en effort</x:v>
      </x:c>
      <x:c r="N14" s="18" t="n">
        <x:f>IF(OR(D14=0,F14=""),0,D14*F14)</x:f>
        <x:v>35</x:v>
      </x:c>
      <x:c r="O14" s="18" t="n">
        <x:f>IF(OR(D14=0,G14=""),0,D14*G14)</x:f>
        <x:v>90</x:v>
      </x:c>
      <x:c r="P14" s="10" t="str">
        <x:f>IF(OR(F14="",G14=""),"NON","OUI")</x:f>
        <x:v>OUI</x:v>
      </x:c>
      <x:c r="Q14" s="10" t="str">
        <x:f>IF(AND(D14&gt;0,OR(F14="",G14="")),"PRIX MANQUANT",IF(D14&gt;0,"HYPOTHÈSE","NON SÉLECTIONNÉ"))</x:f>
        <x:v>HYPOTHÈSE</x:v>
      </x:c>
    </x:row>
    <x:row r="15" ht="36" customHeight="1">
      <x:c r="A15" s="10" t="str">
        <x:v>E10</x:v>
      </x:c>
      <x:c r="B15" s="10" t="str">
        <x:v>Protection</x:v>
      </x:c>
      <x:c r="C15" s="10" t="str">
        <x:v>Limites de course supplémentaires indépendantes</x:v>
      </x:c>
      <x:c r="D15" s="14" t="n">
        <x:v>1</x:v>
      </x:c>
      <x:c r="E15" s="10" t="str">
        <x:v>jeu</x:v>
      </x:c>
      <x:c r="F15" s="12" t="n">
        <x:v>40</x:v>
      </x:c>
      <x:c r="G15" s="12" t="n">
        <x:v>130</x:v>
      </x:c>
      <x:c r="H15" s="10" t="str">
        <x:v>Fonction nécessaire</x:v>
      </x:c>
      <x:c r="I15" s="10" t="str">
        <x:v>À vérifier</x:v>
      </x:c>
      <x:c r="J15" s="10" t="str">
        <x:v>D-05</x:v>
      </x:c>
      <x:c r="K15" s="10" t="str">
        <x:v>G1</x:v>
      </x:c>
      <x:c r="L15" s="10" t="str">
        <x:v>BOM V0.1, clarification V0.2</x:v>
      </x:c>
      <x:c r="M15" s="10" t="str">
        <x:v>Dissocié du capteur de position O03; ne pas doubler budget capteur</x:v>
      </x:c>
      <x:c r="N15" s="18" t="n">
        <x:f>IF(OR(D15=0,F15=""),0,D15*F15)</x:f>
        <x:v>40</x:v>
      </x:c>
      <x:c r="O15" s="18" t="n">
        <x:f>IF(OR(D15=0,G15=""),0,D15*G15)</x:f>
        <x:v>130</x:v>
      </x:c>
      <x:c r="P15" s="10" t="str">
        <x:f>IF(OR(F15="",G15=""),"NON","OUI")</x:f>
        <x:v>OUI</x:v>
      </x:c>
      <x:c r="Q15" s="10" t="str">
        <x:f>IF(AND(D15&gt;0,OR(F15="",G15="")),"PRIX MANQUANT",IF(D15&gt;0,"HYPOTHÈSE","NON SÉLECTIONNÉ"))</x:f>
        <x:v>HYPOTHÈSE</x:v>
      </x:c>
    </x:row>
    <x:row r="16" ht="36" customHeight="1">
      <x:c r="A16" s="10" t="str">
        <x:v>E11</x:v>
      </x:c>
      <x:c r="B16" s="10" t="str">
        <x:v>Interface</x:v>
      </x:c>
      <x:c r="C16" s="10" t="str">
        <x:v>Afficheur et touches robustes</x:v>
      </x:c>
      <x:c r="D16" s="14" t="n">
        <x:v>0</x:v>
      </x:c>
      <x:c r="E16" s="10" t="str">
        <x:v>unité</x:v>
      </x:c>
      <x:c r="F16" s="12" t="n">
        <x:v>45</x:v>
      </x:c>
      <x:c r="G16" s="12" t="n">
        <x:v>130</x:v>
      </x:c>
      <x:c r="H16" s="10" t="str">
        <x:v>Option</x:v>
      </x:c>
      <x:c r="I16" s="10" t="str">
        <x:v>À décider</x:v>
      </x:c>
      <x:c r="J16" s="10" t="str">
        <x:v>D-10</x:v>
      </x:c>
      <x:c r="K16" s="10" t="str">
        <x:v>G5</x:v>
      </x:c>
      <x:c r="L16" s="10" t="str">
        <x:v>BOM V0.1</x:v>
      </x:c>
      <x:c r="M16" s="10" t="str">
        <x:v>Non requis pour banc logiciel</x:v>
      </x:c>
      <x:c r="N16" s="18" t="n">
        <x:f>IF(OR(D16=0,F16=""),0,D16*F16)</x:f>
        <x:v>0</x:v>
      </x:c>
      <x:c r="O16" s="18" t="n">
        <x:f>IF(OR(D16=0,G16=""),0,D16*G16)</x:f>
        <x:v>0</x:v>
      </x:c>
      <x:c r="P16" s="10" t="str">
        <x:f>IF(OR(F16="",G16=""),"NON","OUI")</x:f>
        <x:v>OUI</x:v>
      </x:c>
      <x:c r="Q16" s="10" t="str">
        <x:f>IF(AND(D16&gt;0,OR(F16="",G16="")),"PRIX MANQUANT",IF(D16&gt;0,"HYPOTHÈSE","NON SÉLECTIONNÉ"))</x:f>
        <x:v>NON SÉLECTIONNÉ</x:v>
      </x:c>
    </x:row>
    <x:row r="17" ht="36" customHeight="1">
      <x:c r="A17" s="10" t="str">
        <x:v>E12</x:v>
      </x:c>
      <x:c r="B17" s="10" t="str">
        <x:v>Boîtier</x:v>
      </x:c>
      <x:c r="C17" s="10" t="str">
        <x:v>Boîtier IP67 et connectique, presse-étoupes</x:v>
      </x:c>
      <x:c r="D17" s="14" t="n">
        <x:v>1</x:v>
      </x:c>
      <x:c r="E17" s="10" t="str">
        <x:v>lot</x:v>
      </x:c>
      <x:c r="F17" s="12" t="n">
        <x:v>100</x:v>
      </x:c>
      <x:c r="G17" s="12" t="n">
        <x:v>240</x:v>
      </x:c>
      <x:c r="H17" s="10" t="str">
        <x:v>Fonction nécessaire</x:v>
      </x:c>
      <x:c r="I17" s="10" t="str">
        <x:v>À vérifier</x:v>
      </x:c>
      <x:c r="J17" s="10" t="str">
        <x:v>D-06</x:v>
      </x:c>
      <x:c r="K17" s="10" t="str">
        <x:v>G5</x:v>
      </x:c>
      <x:c r="L17" s="10" t="str">
        <x:v>BOM V0.1</x:v>
      </x:c>
      <x:c r="M17" s="10" t="str">
        <x:v>Indice IP réel après assemblage à confirmer</x:v>
      </x:c>
      <x:c r="N17" s="18" t="n">
        <x:f>IF(OR(D17=0,F17=""),0,D17*F17)</x:f>
        <x:v>100</x:v>
      </x:c>
      <x:c r="O17" s="18" t="n">
        <x:f>IF(OR(D17=0,G17=""),0,D17*G17)</x:f>
        <x:v>240</x:v>
      </x:c>
      <x:c r="P17" s="10" t="str">
        <x:f>IF(OR(F17="",G17=""),"NON","OUI")</x:f>
        <x:v>OUI</x:v>
      </x:c>
      <x:c r="Q17" s="10" t="str">
        <x:f>IF(AND(D17&gt;0,OR(F17="",G17="")),"PRIX MANQUANT",IF(D17&gt;0,"HYPOTHÈSE","NON SÉLECTIONNÉ"))</x:f>
        <x:v>HYPOTHÈSE</x:v>
      </x:c>
    </x:row>
    <x:row r="18" ht="36" customHeight="1">
      <x:c r="A18" s="10" t="str">
        <x:v>E13</x:v>
      </x:c>
      <x:c r="B18" s="10" t="str">
        <x:v>Câblage</x:v>
      </x:c>
      <x:c r="C18" s="10" t="str">
        <x:v>Fils étamés, cosses, gaines et supports</x:v>
      </x:c>
      <x:c r="D18" s="14" t="n">
        <x:v>1</x:v>
      </x:c>
      <x:c r="E18" s="10" t="str">
        <x:v>lot</x:v>
      </x:c>
      <x:c r="F18" s="12" t="n">
        <x:v>80</x:v>
      </x:c>
      <x:c r="G18" s="12" t="n">
        <x:v>180</x:v>
      </x:c>
      <x:c r="H18" s="10" t="str">
        <x:v>Fonction nécessaire</x:v>
      </x:c>
      <x:c r="I18" s="10" t="str">
        <x:v>À vérifier</x:v>
      </x:c>
      <x:c r="J18" s="10" t="str">
        <x:v>D-06</x:v>
      </x:c>
      <x:c r="K18" s="10" t="str">
        <x:v>G1/G5</x:v>
      </x:c>
      <x:c r="L18" s="10" t="str">
        <x:v>BOM V0.1</x:v>
      </x:c>
      <x:c r="M18" s="10" t="str">
        <x:v>Connectique et détrompage marine</x:v>
      </x:c>
      <x:c r="N18" s="18" t="n">
        <x:f>IF(OR(D18=0,F18=""),0,D18*F18)</x:f>
        <x:v>80</x:v>
      </x:c>
      <x:c r="O18" s="18" t="n">
        <x:f>IF(OR(D18=0,G18=""),0,D18*G18)</x:f>
        <x:v>180</x:v>
      </x:c>
      <x:c r="P18" s="10" t="str">
        <x:f>IF(OR(F18="",G18=""),"NON","OUI")</x:f>
        <x:v>OUI</x:v>
      </x:c>
      <x:c r="Q18" s="10" t="str">
        <x:f>IF(AND(D18&gt;0,OR(F18="",G18="")),"PRIX MANQUANT",IF(D18&gt;0,"HYPOTHÈSE","NON SÉLECTIONNÉ"))</x:f>
        <x:v>HYPOTHÈSE</x:v>
      </x:c>
    </x:row>
    <x:row r="19" ht="36" customHeight="1">
      <x:c r="A19" s="10" t="str">
        <x:v>M01A</x:v>
      </x:c>
      <x:c r="B19" s="10" t="str">
        <x:v>Mécanique</x:v>
      </x:c>
      <x:c r="C19" s="10" t="str">
        <x:v>Vérin 12 V réversible compatible service pilote</x:v>
      </x:c>
      <x:c r="D19" s="14" t="n">
        <x:v>1</x:v>
      </x:c>
      <x:c r="E19" s="10" t="str">
        <x:v>unité</x:v>
      </x:c>
      <x:c r="F19" s="12" t="n">
        <x:v>350</x:v>
      </x:c>
      <x:c r="G19" s="12" t="n">
        <x:v>1100</x:v>
      </x:c>
      <x:c r="H19" s="10" t="str">
        <x:v>Candidat générique</x:v>
      </x:c>
      <x:c r="I19" s="10" t="str">
        <x:v>À décider</x:v>
      </x:c>
      <x:c r="J19" s="10" t="str">
        <x:v>D-05</x:v>
      </x:c>
      <x:c r="K19" s="10" t="str">
        <x:v>G1</x:v>
      </x:c>
      <x:c r="L19" s="10" t="str">
        <x:v>BOM V0.1</x:v>
      </x:c>
      <x:c r="M19" s="10" t="str">
        <x:v>Montant hypothétique générique; choix réel après validation thermique</x:v>
      </x:c>
      <x:c r="N19" s="18" t="n">
        <x:f>IF(OR(D19=0,F19=""),0,D19*F19)</x:f>
        <x:v>350</x:v>
      </x:c>
      <x:c r="O19" s="18" t="n">
        <x:f>IF(OR(D19=0,G19=""),0,D19*G19)</x:f>
        <x:v>1100</x:v>
      </x:c>
      <x:c r="P19" s="10" t="str">
        <x:f>IF(OR(F19="",G19=""),"NON","OUI")</x:f>
        <x:v>OUI</x:v>
      </x:c>
      <x:c r="Q19" s="10" t="str">
        <x:f>IF(AND(D19&gt;0,OR(F19="",G19="")),"PRIX MANQUANT",IF(D19&gt;0,"HYPOTHÈSE","NON SÉLECTIONNÉ"))</x:f>
        <x:v>HYPOTHÈSE</x:v>
      </x:c>
    </x:row>
    <x:row r="20" ht="36" customHeight="1">
      <x:c r="A20" s="10" t="str">
        <x:v>M01B</x:v>
      </x:c>
      <x:c r="B20" s="10" t="str">
        <x:v>Mécanique</x:v>
      </x:c>
      <x:c r="C20" s="10" t="str">
        <x:v>Firgelli FA-HF-100-12-XX (variante exacte à préciser)</x:v>
      </x:c>
      <x:c r="D20" s="14" t="n">
        <x:v>0</x:v>
      </x:c>
      <x:c r="E20" s="10" t="str">
        <x:v>unité</x:v>
      </x:c>
      <x:c r="F20" s="12"/>
      <x:c r="G20" s="12"/>
      <x:c r="H20" s="10" t="str">
        <x:v>Candidat alternatif</x:v>
      </x:c>
      <x:c r="I20" s="10" t="str">
        <x:v>À vérifier</x:v>
      </x:c>
      <x:c r="J20" s="10" t="str">
        <x:v>D-05</x:v>
      </x:c>
      <x:c r="K20" s="10" t="str">
        <x:v>G1</x:v>
      </x:c>
      <x:c r="L20" s="10" t="str">
        <x:v>Firgelli fiche fabricant</x:v>
      </x:c>
      <x:c r="M20" s="10" t="str">
        <x:v>Duty 20% annoncé; source de risque; prix non fourni; ne pas cumuler avec M01A</x:v>
      </x:c>
      <x:c r="N20" s="18" t="n">
        <x:f>IF(OR(D20=0,F20=""),0,D20*F20)</x:f>
        <x:v>0</x:v>
      </x:c>
      <x:c r="O20" s="18" t="n">
        <x:f>IF(OR(D20=0,G20=""),0,D20*G20)</x:f>
        <x:v>0</x:v>
      </x:c>
      <x:c r="P20" s="10" t="str">
        <x:f>IF(OR(F20="",G20=""),"NON","OUI")</x:f>
        <x:v>NON</x:v>
      </x:c>
      <x:c r="Q20" s="10" t="str">
        <x:f>IF(AND(D20&gt;0,OR(F20="",G20="")),"PRIX MANQUANT",IF(D20&gt;0,"HYPOTHÈSE","NON SÉLECTIONNÉ"))</x:f>
        <x:v>NON SÉLECTIONNÉ</x:v>
      </x:c>
    </x:row>
    <x:row r="21" ht="36" customHeight="1">
      <x:c r="A21" s="10" t="str">
        <x:v>M02</x:v>
      </x:c>
      <x:c r="B21" s="10" t="str">
        <x:v>Mécanique</x:v>
      </x:c>
      <x:c r="C21" s="10" t="str">
        <x:v>Support de pont, fixation barre et rotules inox</x:v>
      </x:c>
      <x:c r="D21" s="14" t="n">
        <x:v>1</x:v>
      </x:c>
      <x:c r="E21" s="10" t="str">
        <x:v>lot</x:v>
      </x:c>
      <x:c r="F21" s="12" t="n">
        <x:v>80</x:v>
      </x:c>
      <x:c r="G21" s="12" t="n">
        <x:v>220</x:v>
      </x:c>
      <x:c r="H21" s="10" t="str">
        <x:v>Fonction nécessaire</x:v>
      </x:c>
      <x:c r="I21" s="10" t="str">
        <x:v>À vérifier</x:v>
      </x:c>
      <x:c r="J21" s="10" t="str">
        <x:v>D-05</x:v>
      </x:c>
      <x:c r="K21" s="10" t="str">
        <x:v>G1</x:v>
      </x:c>
      <x:c r="L21" s="10" t="str">
        <x:v>BOM V0.1</x:v>
      </x:c>
      <x:c r="M21" s="10" t="str">
        <x:v>Dimensionnement géométrique Capri 22 avant sélection</x:v>
      </x:c>
      <x:c r="N21" s="18" t="n">
        <x:f>IF(OR(D21=0,F21=""),0,D21*F21)</x:f>
        <x:v>80</x:v>
      </x:c>
      <x:c r="O21" s="18" t="n">
        <x:f>IF(OR(D21=0,G21=""),0,D21*G21)</x:f>
        <x:v>220</x:v>
      </x:c>
      <x:c r="P21" s="10" t="str">
        <x:f>IF(OR(F21="",G21=""),"NON","OUI")</x:f>
        <x:v>OUI</x:v>
      </x:c>
      <x:c r="Q21" s="10" t="str">
        <x:f>IF(AND(D21&gt;0,OR(F21="",G21="")),"PRIX MANQUANT",IF(D21&gt;0,"HYPOTHÈSE","NON SÉLECTIONNÉ"))</x:f>
        <x:v>HYPOTHÈSE</x:v>
      </x:c>
    </x:row>
    <x:row r="22" ht="36" customHeight="1">
      <x:c r="A22" s="10" t="str">
        <x:v>T01</x:v>
      </x:c>
      <x:c r="B22" s="10" t="str">
        <x:v>Essais</x:v>
      </x:c>
      <x:c r="C22" s="10" t="str">
        <x:v>Multimètre, pince ampèremétrique, moyens de charge</x:v>
      </x:c>
      <x:c r="D22" s="14" t="n">
        <x:v>1</x:v>
      </x:c>
      <x:c r="E22" s="10" t="str">
        <x:v>lot</x:v>
      </x:c>
      <x:c r="F22" s="12" t="n">
        <x:v>0</x:v>
      </x:c>
      <x:c r="G22" s="12" t="n">
        <x:v>250</x:v>
      </x:c>
      <x:c r="H22" s="10" t="str">
        <x:v>Outillage selon acquis</x:v>
      </x:c>
      <x:c r="I22" s="10" t="str">
        <x:v>À vérifier</x:v>
      </x:c>
      <x:c r="J22" s="10" t="str">
        <x:v>D-05</x:v>
      </x:c>
      <x:c r="K22" s="10" t="str">
        <x:v>G1</x:v>
      </x:c>
      <x:c r="L22" s="10" t="str">
        <x:v>BOM V0.1</x:v>
      </x:c>
      <x:c r="M22" s="10" t="str">
        <x:v>Budget seulement si non possédé; essai de charge sécurisé</x:v>
      </x:c>
      <x:c r="N22" s="18" t="n">
        <x:f>IF(OR(D22=0,F22=""),0,D22*F22)</x:f>
        <x:v>0</x:v>
      </x:c>
      <x:c r="O22" s="18" t="n">
        <x:f>IF(OR(D22=0,G22=""),0,D22*G22)</x:f>
        <x:v>250</x:v>
      </x:c>
      <x:c r="P22" s="10" t="str">
        <x:f>IF(OR(F22="",G22=""),"NON","OUI")</x:f>
        <x:v>NON</x:v>
      </x:c>
      <x:c r="Q22" s="10" t="str">
        <x:f>IF(AND(D22&gt;0,OR(F22="",G22="")),"PRIX MANQUANT",IF(D22&gt;0,"HYPOTHÈSE","NON SÉLECTIONNÉ"))</x:f>
        <x:v>PRIX MANQUANT</x:v>
      </x:c>
    </x:row>
    <x:row r="23" ht="36" customHeight="1">
      <x:c r="A23" s="10" t="str">
        <x:v>T02</x:v>
      </x:c>
      <x:c r="B23" s="10" t="str">
        <x:v>Essais</x:v>
      </x:c>
      <x:c r="C23" s="10" t="str">
        <x:v>Mesure de température / capteur et journalisation</x:v>
      </x:c>
      <x:c r="D23" s="14" t="n">
        <x:v>0</x:v>
      </x:c>
      <x:c r="E23" s="10" t="str">
        <x:v>lot</x:v>
      </x:c>
      <x:c r="F23" s="12"/>
      <x:c r="G23" s="12"/>
      <x:c r="H23" s="10" t="str">
        <x:v>Banc recommandé</x:v>
      </x:c>
      <x:c r="I23" s="10" t="str">
        <x:v>À vérifier</x:v>
      </x:c>
      <x:c r="J23" s="10" t="str">
        <x:v>D-05</x:v>
      </x:c>
      <x:c r="K23" s="10" t="str">
        <x:v>G1</x:v>
      </x:c>
      <x:c r="L23" s="10" t="str">
        <x:v>Ajout V0.2</x:v>
      </x:c>
      <x:c r="M23" s="10" t="str">
        <x:v>Coût à obtenir; mesurer température externe ≠ enroulements</x:v>
      </x:c>
      <x:c r="N23" s="18" t="n">
        <x:f>IF(OR(D23=0,F23=""),0,D23*F23)</x:f>
        <x:v>0</x:v>
      </x:c>
      <x:c r="O23" s="18" t="n">
        <x:f>IF(OR(D23=0,G23=""),0,D23*G23)</x:f>
        <x:v>0</x:v>
      </x:c>
      <x:c r="P23" s="10" t="str">
        <x:f>IF(OR(F23="",G23=""),"NON","OUI")</x:f>
        <x:v>NON</x:v>
      </x:c>
      <x:c r="Q23" s="10" t="str">
        <x:f>IF(AND(D23&gt;0,OR(F23="",G23="")),"PRIX MANQUANT",IF(D23&gt;0,"HYPOTHÈSE","NON SÉLECTIONNÉ"))</x:f>
        <x:v>NON SÉLECTIONNÉ</x:v>
      </x:c>
    </x:row>
    <x:row r="24" ht="36" customHeight="1">
      <x:c r="A24" s="10" t="str">
        <x:v>O01</x:v>
      </x:c>
      <x:c r="B24" s="10" t="str">
        <x:v>Interfaces</x:v>
      </x:c>
      <x:c r="C24" s="10" t="str">
        <x:v>Interface NMEA 0183 isolée</x:v>
      </x:c>
      <x:c r="D24" s="14" t="n">
        <x:v>0</x:v>
      </x:c>
      <x:c r="E24" s="10" t="str">
        <x:v>unité</x:v>
      </x:c>
      <x:c r="F24" s="12" t="n">
        <x:v>45</x:v>
      </x:c>
      <x:c r="G24" s="12" t="n">
        <x:v>110</x:v>
      </x:c>
      <x:c r="H24" s="10" t="str">
        <x:v>Option V2</x:v>
      </x:c>
      <x:c r="I24" s="10" t="str">
        <x:v>À décider</x:v>
      </x:c>
      <x:c r="J24" s="10" t="str">
        <x:v>D-10</x:v>
      </x:c>
      <x:c r="K24" s="10" t="str">
        <x:v>G5</x:v>
      </x:c>
      <x:c r="L24" s="10" t="str">
        <x:v>BOM V0.1</x:v>
      </x:c>
      <x:c r="M24" s="10" t="str">
        <x:v>Inutile pour première qualification SIL</x:v>
      </x:c>
      <x:c r="N24" s="18" t="n">
        <x:f>IF(OR(D24=0,F24=""),0,D24*F24)</x:f>
        <x:v>0</x:v>
      </x:c>
      <x:c r="O24" s="18" t="n">
        <x:f>IF(OR(D24=0,G24=""),0,D24*G24)</x:f>
        <x:v>0</x:v>
      </x:c>
      <x:c r="P24" s="10" t="str">
        <x:f>IF(OR(F24="",G24=""),"NON","OUI")</x:f>
        <x:v>OUI</x:v>
      </x:c>
      <x:c r="Q24" s="10" t="str">
        <x:f>IF(AND(D24&gt;0,OR(F24="",G24="")),"PRIX MANQUANT",IF(D24&gt;0,"HYPOTHÈSE","NON SÉLECTIONNÉ"))</x:f>
        <x:v>NON SÉLECTIONNÉ</x:v>
      </x:c>
    </x:row>
    <x:row r="25" ht="36" customHeight="1">
      <x:c r="A25" s="10" t="str">
        <x:v>O02</x:v>
      </x:c>
      <x:c r="B25" s="10" t="str">
        <x:v>Interfaces</x:v>
      </x:c>
      <x:c r="C25" s="10" t="str">
        <x:v>CAN / NMEA 2000 isolé</x:v>
      </x:c>
      <x:c r="D25" s="14" t="n">
        <x:v>0</x:v>
      </x:c>
      <x:c r="E25" s="10" t="str">
        <x:v>unité</x:v>
      </x:c>
      <x:c r="F25" s="12" t="n">
        <x:v>90</x:v>
      </x:c>
      <x:c r="G25" s="12" t="n">
        <x:v>250</x:v>
      </x:c>
      <x:c r="H25" s="10" t="str">
        <x:v>Option V2</x:v>
      </x:c>
      <x:c r="I25" s="10" t="str">
        <x:v>À décider</x:v>
      </x:c>
      <x:c r="J25" s="10" t="str">
        <x:v>D-10</x:v>
      </x:c>
      <x:c r="K25" s="10" t="str">
        <x:v>G5</x:v>
      </x:c>
      <x:c r="L25" s="10" t="str">
        <x:v>BOM V0.1</x:v>
      </x:c>
      <x:c r="M25" s="10" t="str">
        <x:v>Certification/integration à étudier</x:v>
      </x:c>
      <x:c r="N25" s="18" t="n">
        <x:f>IF(OR(D25=0,F25=""),0,D25*F25)</x:f>
        <x:v>0</x:v>
      </x:c>
      <x:c r="O25" s="18" t="n">
        <x:f>IF(OR(D25=0,G25=""),0,D25*G25)</x:f>
        <x:v>0</x:v>
      </x:c>
      <x:c r="P25" s="10" t="str">
        <x:f>IF(OR(F25="",G25=""),"NON","OUI")</x:f>
        <x:v>OUI</x:v>
      </x:c>
      <x:c r="Q25" s="10" t="str">
        <x:f>IF(AND(D25&gt;0,OR(F25="",G25="")),"PRIX MANQUANT",IF(D25&gt;0,"HYPOTHÈSE","NON SÉLECTIONNÉ"))</x:f>
        <x:v>NON SÉLECTIONNÉ</x:v>
      </x:c>
    </x:row>
    <x:row r="26" ht="36" customHeight="1">
      <x:c r="A26" s="10" t="str">
        <x:v>O03</x:v>
      </x:c>
      <x:c r="B26" s="10" t="str">
        <x:v>Capteurs</x:v>
      </x:c>
      <x:c r="C26" s="10" t="str">
        <x:v>Capteur étanche de position de barre</x:v>
      </x:c>
      <x:c r="D26" s="14" t="n">
        <x:v>1</x:v>
      </x:c>
      <x:c r="E26" s="10" t="str">
        <x:v>unité</x:v>
      </x:c>
      <x:c r="F26" s="12" t="n">
        <x:v>80</x:v>
      </x:c>
      <x:c r="G26" s="12" t="n">
        <x:v>240</x:v>
      </x:c>
      <x:c r="H26" s="10" t="str">
        <x:v>Fonction prioritaire</x:v>
      </x:c>
      <x:c r="I26" s="10" t="str">
        <x:v>À vérifier</x:v>
      </x:c>
      <x:c r="J26" s="10" t="str">
        <x:v>D-02</x:v>
      </x:c>
      <x:c r="K26" s="10" t="str">
        <x:v>G1</x:v>
      </x:c>
      <x:c r="L26" s="10" t="str">
        <x:v>BOM V0.1 reclassée</x:v>
      </x:c>
      <x:c r="M26" s="10" t="str">
        <x:v>Mesure angle du safran et incohérences; distinct des butées</x:v>
      </x:c>
      <x:c r="N26" s="18" t="n">
        <x:f>IF(OR(D26=0,F26=""),0,D26*F26)</x:f>
        <x:v>80</x:v>
      </x:c>
      <x:c r="O26" s="18" t="n">
        <x:f>IF(OR(D26=0,G26=""),0,D26*G26)</x:f>
        <x:v>240</x:v>
      </x:c>
      <x:c r="P26" s="10" t="str">
        <x:f>IF(OR(F26="",G26=""),"NON","OUI")</x:f>
        <x:v>OUI</x:v>
      </x:c>
      <x:c r="Q26" s="10" t="str">
        <x:f>IF(AND(D26&gt;0,OR(F26="",G26="")),"PRIX MANQUANT",IF(D26&gt;0,"HYPOTHÈSE","NON SÉLECTIONNÉ"))</x:f>
        <x:v>HYPOTHÈSE</x:v>
      </x:c>
    </x:row>
    <x:row r="27" ht="36" customHeight="1">
      <x:c r="A27" s="10" t="str">
        <x:v>SW01</x:v>
      </x:c>
      <x:c r="B27" s="10" t="str">
        <x:v>Simulation</x:v>
      </x:c>
      <x:c r="C27" s="10" t="str">
        <x:v>SailSim et banc d’intégration SIL</x:v>
      </x:c>
      <x:c r="D27" s="14" t="n">
        <x:v>0</x:v>
      </x:c>
      <x:c r="E27" s="10" t="str">
        <x:v>lot</x:v>
      </x:c>
      <x:c r="F27" s="12"/>
      <x:c r="G27" s="12"/>
      <x:c r="H27" s="10" t="str">
        <x:v>Travail logiciel</x:v>
      </x:c>
      <x:c r="I27" s="10" t="str">
        <x:v>À qualifier</x:v>
      </x:c>
      <x:c r="J27" s="10" t="str">
        <x:v>D-09</x:v>
      </x:c>
      <x:c r="K27" s="10" t="str">
        <x:v>G2/G3</x:v>
      </x:c>
      <x:c r="L27" s="10" t="str">
        <x:v>herostrat/sailsim</x:v>
      </x:c>
      <x:c r="M27" s="10" t="str">
        <x:v>Coût de main-d’œuvre non chiffré; logiciel libre sous réserve licences</x:v>
      </x:c>
      <x:c r="N27" s="18" t="n">
        <x:f>IF(OR(D27=0,F27=""),0,D27*F27)</x:f>
        <x:v>0</x:v>
      </x:c>
      <x:c r="O27" s="18" t="n">
        <x:f>IF(OR(D27=0,G27=""),0,D27*G27)</x:f>
        <x:v>0</x:v>
      </x:c>
      <x:c r="P27" s="10" t="str">
        <x:f>IF(OR(F27="",G27=""),"NON","OUI")</x:f>
        <x:v>NON</x:v>
      </x:c>
      <x:c r="Q27" s="10" t="str">
        <x:f>IF(AND(D27&gt;0,OR(F27="",G27="")),"PRIX MANQUANT",IF(D27&gt;0,"HYPOTHÈSE","NON SÉLECTIONNÉ"))</x:f>
        <x:v>NON SÉLECTIONNÉ</x:v>
      </x:c>
    </x:row>
  </x:sheetData>
  <x:pageMargins left="0.7" right="0.7" top="0.75" bottom="0.75" header="0.3" footer="0.3"/>
  <x:tableParts count="1">
    <x:tablePart xmlns:r="http://schemas.openxmlformats.org/officeDocument/2006/relationships" r:id="R395c22b3468644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18" hidden="0" customWidth="1"/>
    <x:col min="4" max="4" width="18" hidden="0" customWidth="1"/>
  </x:cols>
  <x:sheetData>
    <x:row r="1" ht="32" customHeight="1">
      <x:c r="A1" s="3" t="str">
        <x:v>BOM V0.2 — budget historique indicatif, pas une soumission</x:v>
      </x:c>
      <x:c r="B1" s="3" t="str"/>
      <x:c r="C1" s="3" t="str"/>
      <x:c r="D1" s="3" t="str"/>
    </x:row>
    <x:row r="3">
      <x:c r="A3" s="21" t="str">
        <x:v>Date</x:v>
      </x:c>
      <x:c r="B3" t="str">
        <x:v>2026-10-29</x:v>
      </x:c>
    </x:row>
    <x:row r="4">
      <x:c r="A4" s="21" t="str">
        <x:v>Statut</x:v>
      </x:c>
      <x:c r="B4" t="str">
        <x:v>[Proposition] — aucun achat approuvé</x:v>
      </x:c>
    </x:row>
    <x:row r="5">
      <x:c r="A5" s="21" t="str">
        <x:v>Scénario</x:v>
      </x:c>
      <x:c r="B5" t="str">
        <x:v>Quantités scénarielles NON DECIDÉES; 1 n’est pas un achat</x:v>
      </x:c>
    </x:row>
    <x:row r="6">
      <x:c r="A6" s="21" t="str">
        <x:v>Source des prix</x:v>
      </x:c>
      <x:c r="B6" t="str">
        <x:v>Fourchettes V0.1 non actualisées; prix nouveaux en blanc</x:v>
      </x:c>
    </x:row>
    <x:row r="7">
      <x:c r="A7" s="21" t="str">
        <x:v>Budget min connu</x:v>
      </x:c>
      <x:c r="B7" s="16" t="n">
        <x:f>SUM(Nomenclature!N2:N27)</x:f>
        <x:v>920</x:v>
      </x:c>
    </x:row>
    <x:row r="8">
      <x:c r="A8" s="21" t="str">
        <x:v>Budget max connu</x:v>
      </x:c>
      <x:c r="B8" s="16" t="n">
        <x:f>SUM(Nomenclature!O2:O27)</x:f>
        <x:v>2835</x:v>
      </x:c>
    </x:row>
    <x:row r="9">
      <x:c r="A9" s="21" t="str">
        <x:v>Postes sélectionnés sans prix</x:v>
      </x:c>
      <x:c r="B9" t="n">
        <x:f>COUNTIF(Nomenclature!Q2:Q27,"PRIX MANQUANT")</x:f>
        <x:v>4</x:v>
      </x:c>
    </x:row>
    <x:row r="10">
      <x:c r="A10" s="21" t="str">
        <x:v>Complétude</x:v>
      </x:c>
      <x:c r="B10" t="str">
        <x:v>Budget partiel : ne pas interpréter comme coût final</x:v>
      </x:c>
    </x:row>
    <x:row r="12" ht="38" customHeight="1">
      <x:c r="A12" s="24" t="str">
        <x:v>ATTENTION</x:v>
      </x:c>
      <x:c r="B12" s="10" t="str">
        <x:v>La plage historique ne couvre ni tax ni livraison, ni certification, ni main-d’œuvre.</x:v>
      </x:c>
    </x:row>
    <x:row r="13" ht="38" customHeight="1">
      <x:c r="A13" s="24" t="str">
        <x:v>PRIX MANQUANTS</x:v>
      </x:c>
      <x:c r="B13" s="10" t="str">
        <x:v>Les candidats Arduino Mega, ICM-20948, Cytron, Firgelli ne possèdent pas encore de prix V0.1.</x:v>
      </x:c>
    </x:row>
    <x:row r="14" ht="38" customHeight="1">
      <x:c r="A14" s="24" t="str">
        <x:v>SÉLECTION</x:v>
      </x:c>
      <x:c r="B14" s="10" t="str">
        <x:v>Ne jamais additionner des choix mutuellement exclusifs A/B/C dans le même scénario.</x:v>
      </x:c>
    </x:row>
    <x:row r="15" ht="38" customHeight="1">
      <x:c r="A15" s="24" t="str">
        <x:v>APPROBATION</x:v>
      </x:c>
      <x:c r="B15" s="10" t="str">
        <x:v>Le propriétaire doit valider la sélection physique et les seuils avant achats.</x:v>
      </x:c>
    </x:row>
    <x:row r="16" ht="38" customHeight="1">
      <x:c r="A16" s="24" t="str">
        <x:v>THERMIQUE</x:v>
      </x:c>
      <x:c r="B16" s="10" t="str">
        <x:v>Un vérin annoncé 20 % de duty cycle requiert confirmation écrite des conditions fabricant.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4" hidden="0" customWidth="1"/>
    <x:col min="4" max="4" width="19" hidden="0" customWidth="1"/>
    <x:col min="5" max="5" width="70" hidden="0" customWidth="1"/>
  </x:cols>
  <x:sheetData>
    <x:row r="1" ht="26" customHeight="1">
      <x:c r="A1" s="3" t="str">
        <x:v>ID</x:v>
      </x:c>
      <x:c r="B1" s="3" t="str">
        <x:v>Décision</x:v>
      </x:c>
      <x:c r="C1" s="3" t="str">
        <x:v>Porte</x:v>
      </x:c>
      <x:c r="D1" s="3" t="str">
        <x:v>Etat</x:v>
      </x:c>
      <x:c r="E1" s="3" t="str">
        <x:v>Éléments BOM / justification</x:v>
      </x:c>
    </x:row>
    <x:row r="2" ht="35" customHeight="1">
      <x:c r="A2" s="10" t="str">
        <x:v>D-01</x:v>
      </x:c>
      <x:c r="B2" s="10" t="str">
        <x:v>Calculateur et base logicielle</x:v>
      </x:c>
      <x:c r="C2" s="10" t="str">
        <x:v>G3/G4</x:v>
      </x:c>
      <x:c r="D2" s="10" t="str">
        <x:v>À décider</x:v>
      </x:c>
      <x:c r="E2" s="10" t="str">
        <x:v>E01A/E01B : ESP32-S3 vs Mega</x:v>
      </x:c>
    </x:row>
    <x:row r="3" ht="35" customHeight="1">
      <x:c r="A3" s="10" t="str">
        <x:v>D-02</x:v>
      </x:c>
      <x:c r="B3" s="10" t="str">
        <x:v>Contrat de commande et retour de barre</x:v>
      </x:c>
      <x:c r="C3" s="10" t="str">
        <x:v>G3/G4</x:v>
      </x:c>
      <x:c r="D3" s="10" t="str">
        <x:v>À décider</x:v>
      </x:c>
      <x:c r="E3" s="10" t="str">
        <x:v>O03 et E10 distincts; position vs drive</x:v>
      </x:c>
    </x:row>
    <x:row r="4" ht="35" customHeight="1">
      <x:c r="A4" s="10" t="str">
        <x:v>D-03</x:v>
      </x:c>
      <x:c r="B4" s="10" t="str">
        <x:v>Loi de cap</x:v>
      </x:c>
      <x:c r="C4" s="10" t="str">
        <x:v>G4</x:v>
      </x:c>
      <x:c r="D4" s="10" t="str">
        <x:v>À décider</x:v>
      </x:c>
      <x:c r="E4" s="10" t="str">
        <x:v>Fenix / PyPilot / PD témoin</x:v>
      </x:c>
    </x:row>
    <x:row r="5" ht="35" customHeight="1">
      <x:c r="A5" s="10" t="str">
        <x:v>D-04</x:v>
      </x:c>
      <x:c r="B5" s="10" t="str">
        <x:v>IMU et cap</x:v>
      </x:c>
      <x:c r="C5" s="10" t="str">
        <x:v>G3/G5</x:v>
      </x:c>
      <x:c r="D5" s="10" t="str">
        <x:v>À décider</x:v>
      </x:c>
      <x:c r="E5" s="10" t="str">
        <x:v>E02A/E02B, E03 en validation</x:v>
      </x:c>
    </x:row>
    <x:row r="6" ht="35" customHeight="1">
      <x:c r="A6" s="10" t="str">
        <x:v>D-05</x:v>
      </x:c>
      <x:c r="B6" s="10" t="str">
        <x:v>Vérin et géométrie</x:v>
      </x:c>
      <x:c r="C6" s="10" t="str">
        <x:v>G1</x:v>
      </x:c>
      <x:c r="D6" s="10" t="str">
        <x:v>À décider</x:v>
      </x:c>
      <x:c r="E6" s="10" t="str">
        <x:v>M01A/M01B et M02; cycle de service</x:v>
      </x:c>
    </x:row>
    <x:row r="7" ht="35" customHeight="1">
      <x:c r="A7" s="10" t="str">
        <x:v>D-06</x:v>
      </x:c>
      <x:c r="B7" s="10" t="str">
        <x:v>Driver et protections</x:v>
      </x:c>
      <x:c r="C7" s="10" t="str">
        <x:v>G1</x:v>
      </x:c>
      <x:c r="D7" s="10" t="str">
        <x:v>À décider</x:v>
      </x:c>
      <x:c r="E7" s="10" t="str">
        <x:v>E04A/E04B/E04C, E05-E10</x:v>
      </x:c>
    </x:row>
    <x:row r="8" ht="35" customHeight="1">
      <x:c r="A8" s="10" t="str">
        <x:v>D-07</x:v>
      </x:c>
      <x:c r="B8" s="10" t="str">
        <x:v>Gains selon vitesse</x:v>
      </x:c>
      <x:c r="C8" s="10" t="str">
        <x:v>G4</x:v>
      </x:c>
      <x:c r="D8" s="10" t="str">
        <x:v>À décider</x:v>
      </x:c>
      <x:c r="E8" s="10" t="str">
        <x:v>Études de sensibilité</x:v>
      </x:c>
    </x:row>
    <x:row r="9" ht="35" customHeight="1">
      <x:c r="A9" s="10" t="str">
        <x:v>D-08</x:v>
      </x:c>
      <x:c r="B9" s="10" t="str">
        <x:v>Traitement houle</x:v>
      </x:c>
      <x:c r="C9" s="10" t="str">
        <x:v>G4</x:v>
      </x:c>
      <x:c r="D9" s="10" t="str">
        <x:v>À décider</x:v>
      </x:c>
      <x:c r="E9" s="10" t="str">
        <x:v>Observateur/filtre à évaluer</x:v>
      </x:c>
    </x:row>
    <x:row r="10" ht="35" customHeight="1">
      <x:c r="A10" s="10" t="str">
        <x:v>D-09</x:v>
      </x:c>
      <x:c r="B10" s="10" t="str">
        <x:v>Simulateur</x:v>
      </x:c>
      <x:c r="C10" s="10" t="str">
        <x:v>G2</x:v>
      </x:c>
      <x:c r="D10" s="10" t="str">
        <x:v>À décider</x:v>
      </x:c>
      <x:c r="E10" s="10" t="str">
        <x:v>SW01; SailSim candidat à qualifier</x:v>
      </x:c>
    </x:row>
    <x:row r="11" ht="35" customHeight="1">
      <x:c r="A11" s="10" t="str">
        <x:v>D-10</x:v>
      </x:c>
      <x:c r="B11" s="10" t="str">
        <x:v>Interface utilisateur</x:v>
      </x:c>
      <x:c r="C11" s="10" t="str">
        <x:v>G5</x:v>
      </x:c>
      <x:c r="D11" s="10" t="str">
        <x:v>À décider</x:v>
      </x:c>
      <x:c r="E11" s="10" t="str">
        <x:v>E09 obligatoire; E11, O01, O02 options</x:v>
      </x:c>
    </x:row>
  </x:sheetData>
  <x:pageMargins left="0.7" right="0.7" top="0.75" bottom="0.75" header="0.3" footer="0.3"/>
  <x:tableParts count="1">
    <x:tablePart xmlns:r="http://schemas.openxmlformats.org/officeDocument/2006/relationships" r:id="R28cac46c1fef45c5"/>
  </x:tableParts>
</x:worksheet>
</file>